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333ED283-C28E-437B-8EBF-E4B17FD19621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Dashboard" sheetId="1" r:id="rId1"/>
    <sheet name="Maintenance Log" sheetId="2" r:id="rId2"/>
    <sheet name="Equipment Invento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" i="2" l="1"/>
  <c r="C21" i="1"/>
  <c r="C20" i="1"/>
  <c r="C19" i="1"/>
  <c r="C18" i="1"/>
  <c r="C14" i="1"/>
  <c r="C13" i="1"/>
  <c r="C12" i="1"/>
  <c r="C11" i="1"/>
  <c r="H6" i="1"/>
  <c r="F6" i="1"/>
  <c r="D6" i="1"/>
  <c r="B6" i="1"/>
</calcChain>
</file>

<file path=xl/sharedStrings.xml><?xml version="1.0" encoding="utf-8"?>
<sst xmlns="http://schemas.openxmlformats.org/spreadsheetml/2006/main" count="212" uniqueCount="144">
  <si>
    <t>Medical Equipment Maintenance Tracker</t>
  </si>
  <si>
    <t>Total Tickets</t>
  </si>
  <si>
    <t>New Tickets</t>
  </si>
  <si>
    <t>In Progress</t>
  </si>
  <si>
    <t>Completed</t>
  </si>
  <si>
    <t>Status Summary</t>
  </si>
  <si>
    <t>Status</t>
  </si>
  <si>
    <t>Count</t>
  </si>
  <si>
    <t>New</t>
  </si>
  <si>
    <t>Awaiting Parts</t>
  </si>
  <si>
    <t>Priority Breakdown</t>
  </si>
  <si>
    <t>Priority</t>
  </si>
  <si>
    <t>Critical</t>
  </si>
  <si>
    <t>High</t>
  </si>
  <si>
    <t>Medium</t>
  </si>
  <si>
    <t>Low</t>
  </si>
  <si>
    <t>Medical Equipment Maintenance &amp; Fault Tracker</t>
  </si>
  <si>
    <t>Ticket ID</t>
  </si>
  <si>
    <t>Request Date</t>
  </si>
  <si>
    <t>Equipment Name</t>
  </si>
  <si>
    <t>Serial Number (SN)</t>
  </si>
  <si>
    <t>Department / Room</t>
  </si>
  <si>
    <t>Issue Description</t>
  </si>
  <si>
    <t>Reported By</t>
  </si>
  <si>
    <t>Assigned Engineer</t>
  </si>
  <si>
    <t>Completion Date</t>
  </si>
  <si>
    <t>Cost (USD)</t>
  </si>
  <si>
    <t>Action Taken / Notes</t>
  </si>
  <si>
    <t>REQ-2026-001</t>
  </si>
  <si>
    <t>2026-09-01</t>
  </si>
  <si>
    <t>Ventilator</t>
  </si>
  <si>
    <t>VENT-9921</t>
  </si>
  <si>
    <t>ICU</t>
  </si>
  <si>
    <t>Pressure sensor error</t>
  </si>
  <si>
    <t>Dr. Ahmed Khalil</t>
  </si>
  <si>
    <t>Eng. Muhanad Ali</t>
  </si>
  <si>
    <t>2026-09-02</t>
  </si>
  <si>
    <t>Replaced sensor and recalibrated system</t>
  </si>
  <si>
    <t>REQ-2026-002</t>
  </si>
  <si>
    <t>2026-09-03</t>
  </si>
  <si>
    <t>Mobile X-Ray Machine</t>
  </si>
  <si>
    <t>XRAY-4410</t>
  </si>
  <si>
    <t>Radiology</t>
  </si>
  <si>
    <t>Main power switch unresponsive</t>
  </si>
  <si>
    <t>Tech. Jasim</t>
  </si>
  <si>
    <t>Eng. Omar Farooq</t>
  </si>
  <si>
    <t>Inspecting power supply board</t>
  </si>
  <si>
    <t>REQ-2026-003</t>
  </si>
  <si>
    <t>2026-09-05</t>
  </si>
  <si>
    <t>ECG Machine</t>
  </si>
  <si>
    <t>ECG-1029</t>
  </si>
  <si>
    <t>Emergency Room</t>
  </si>
  <si>
    <t>Signal cable damage</t>
  </si>
  <si>
    <t>ER Duty Nurse</t>
  </si>
  <si>
    <t>Eng. Sarah Sadiq</t>
  </si>
  <si>
    <t>New cable ordered from vendor</t>
  </si>
  <si>
    <t>REQ-2026-004</t>
  </si>
  <si>
    <t>2026-09-07</t>
  </si>
  <si>
    <t>Defibrillator</t>
  </si>
  <si>
    <t>DEF-5532</t>
  </si>
  <si>
    <t>Operating Room</t>
  </si>
  <si>
    <t>Battery not holding charge</t>
  </si>
  <si>
    <t>Dr. Samar Fadhil</t>
  </si>
  <si>
    <t>Scheduled for initial inspection</t>
  </si>
  <si>
    <t>REQ-2026-005</t>
  </si>
  <si>
    <t>2026-09-08</t>
  </si>
  <si>
    <t>Infusion Pump</t>
  </si>
  <si>
    <t>INF-8812</t>
  </si>
  <si>
    <t>VIP Ward</t>
  </si>
  <si>
    <t>Touchscreen unresponsive</t>
  </si>
  <si>
    <t>Head Nurse</t>
  </si>
  <si>
    <t>Eng. Khalid Abdullah</t>
  </si>
  <si>
    <t>2026-09-09</t>
  </si>
  <si>
    <t>Recalibrated touch screen interface</t>
  </si>
  <si>
    <t>REQ-2026-006</t>
  </si>
  <si>
    <t>2026-09-10</t>
  </si>
  <si>
    <t>MRI Scanner</t>
  </si>
  <si>
    <t>MRI-0019</t>
  </si>
  <si>
    <t>MRI Suite</t>
  </si>
  <si>
    <t>Cooling system over-temperature</t>
  </si>
  <si>
    <t>Dr. Yasser Al-Ali</t>
  </si>
  <si>
    <t>External Service Team</t>
  </si>
  <si>
    <t>Vendor engineer onsite investigating chiller</t>
  </si>
  <si>
    <t>REQ-2026-007</t>
  </si>
  <si>
    <t>2026-09-11</t>
  </si>
  <si>
    <t>Dialysis Machine</t>
  </si>
  <si>
    <t>DIA-7720</t>
  </si>
  <si>
    <t>Hemodialysis Unit</t>
  </si>
  <si>
    <t>Minor leak in water inlet pipe</t>
  </si>
  <si>
    <t>Dept Maintenance Tech</t>
  </si>
  <si>
    <t>Replaced inlet tube and verified pressure</t>
  </si>
  <si>
    <t>REQ-2026-008</t>
  </si>
  <si>
    <t>2026-09-12</t>
  </si>
  <si>
    <t>Infant Incubator</t>
  </si>
  <si>
    <t>INC-3301</t>
  </si>
  <si>
    <t>NICU</t>
  </si>
  <si>
    <t>Temperature fluctuation detected</t>
  </si>
  <si>
    <t>Dr. Amal Nouri</t>
  </si>
  <si>
    <t>Scheduled for testing</t>
  </si>
  <si>
    <t>Total Cost:</t>
  </si>
  <si>
    <t>Medical Equipment Inventory Database</t>
  </si>
  <si>
    <t>Equipment Code</t>
  </si>
  <si>
    <t>Manufacturer / Brand</t>
  </si>
  <si>
    <t>Department / Location</t>
  </si>
  <si>
    <t>Purchase Date</t>
  </si>
  <si>
    <t>Warranty Status</t>
  </si>
  <si>
    <t>EQ-01</t>
  </si>
  <si>
    <t>Hamilton Medical</t>
  </si>
  <si>
    <t>2023-05-15</t>
  </si>
  <si>
    <t>Active</t>
  </si>
  <si>
    <t>EQ-02</t>
  </si>
  <si>
    <t>Siemens</t>
  </si>
  <si>
    <t>2021-11-10</t>
  </si>
  <si>
    <t>Expired</t>
  </si>
  <si>
    <t>EQ-03</t>
  </si>
  <si>
    <t>GE Healthcare</t>
  </si>
  <si>
    <t>2024-01-20</t>
  </si>
  <si>
    <t>EQ-04</t>
  </si>
  <si>
    <t>Mindray</t>
  </si>
  <si>
    <t>2022-08-05</t>
  </si>
  <si>
    <t>EQ-05</t>
  </si>
  <si>
    <t>B. Braun</t>
  </si>
  <si>
    <t>2023-02-14</t>
  </si>
  <si>
    <t>EQ-06</t>
  </si>
  <si>
    <t>Philips</t>
  </si>
  <si>
    <t>2019-04-30</t>
  </si>
  <si>
    <t>AMC Contract</t>
  </si>
  <si>
    <t>EQ-07</t>
  </si>
  <si>
    <t>Fresenius</t>
  </si>
  <si>
    <t>2022-12-01</t>
  </si>
  <si>
    <t>EQ-08</t>
  </si>
  <si>
    <t>Dräger</t>
  </si>
  <si>
    <t>2020-09-18</t>
  </si>
  <si>
    <t xml:space="preserve">  </t>
  </si>
  <si>
    <t>EQ-09</t>
  </si>
  <si>
    <t>INC-3302</t>
  </si>
  <si>
    <t>2020-09-19</t>
  </si>
  <si>
    <t xml:space="preserve">ESG </t>
  </si>
  <si>
    <t>EQ-10</t>
  </si>
  <si>
    <t>PICU</t>
  </si>
  <si>
    <t>2026-09-13</t>
  </si>
  <si>
    <t>REQ-2026-009</t>
  </si>
  <si>
    <t xml:space="preserve">paper jam </t>
  </si>
  <si>
    <t xml:space="preserve">Eng. Noor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</si>
</sst>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3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0"/>
      <color rgb="FF486581"/>
      <name val="Calibri"/>
      <family val="2"/>
    </font>
    <font>
      <b/>
      <sz val="20"/>
      <color rgb="FF1B365D"/>
      <name val="Calibri"/>
      <family val="2"/>
    </font>
    <font>
      <b/>
      <sz val="14"/>
      <color rgb="FF1B365D"/>
      <name val="Calibri"/>
      <family val="2"/>
    </font>
    <font>
      <b/>
      <sz val="11"/>
      <color rgb="FFFFFFFF"/>
      <name val="Calibri"/>
      <family val="2"/>
    </font>
    <font>
      <sz val="11"/>
      <color rgb="FF102A43"/>
      <name val="Calibri"/>
      <family val="2"/>
    </font>
    <font>
      <b/>
      <sz val="11"/>
      <color rgb="FF102A43"/>
      <name val="Calibri"/>
      <family val="2"/>
    </font>
    <font>
      <b/>
      <sz val="11"/>
      <color rgb="FF2E7D32"/>
      <name val="Calibri"/>
      <family val="2"/>
    </font>
    <font>
      <b/>
      <sz val="11"/>
      <color rgb="FFB78103"/>
      <name val="Calibri"/>
      <family val="2"/>
    </font>
    <font>
      <b/>
      <sz val="11"/>
      <color rgb="FF0277BD"/>
      <name val="Calibri"/>
      <family val="2"/>
    </font>
    <font>
      <b/>
      <sz val="11"/>
      <color rgb="FFC62828"/>
      <name val="Calibri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008080"/>
        <bgColor rgb="FF008080"/>
      </patternFill>
    </fill>
    <fill>
      <patternFill patternType="solid">
        <fgColor rgb="FFF4F7FA"/>
        <bgColor rgb="FFF4F7FA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E1F5FE"/>
        <bgColor rgb="FFE1F5FE"/>
      </patternFill>
    </fill>
    <fill>
      <patternFill patternType="solid">
        <fgColor rgb="FFFFEBEE"/>
        <bgColor rgb="FFFFEBEE"/>
      </patternFill>
    </fill>
  </fills>
  <borders count="5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/>
      <bottom style="medium">
        <color rgb="FF1B365D"/>
      </bottom>
      <diagonal/>
    </border>
    <border>
      <left style="thin">
        <color rgb="FFD9E2EC"/>
      </left>
      <right style="thin">
        <color rgb="FFD9E2EC"/>
      </right>
      <top/>
      <bottom/>
      <diagonal/>
    </border>
    <border>
      <left style="thin">
        <color rgb="FFD9E2EC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164" fontId="7" fillId="0" borderId="2" xfId="0" applyNumberFormat="1" applyFont="1" applyBorder="1"/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Maintenance Status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Dashboard!$C$10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Dashboard!$B$11:$B$14</c:f>
              <c:strCache>
                <c:ptCount val="4"/>
                <c:pt idx="0">
                  <c:v>New</c:v>
                </c:pt>
                <c:pt idx="1">
                  <c:v>In Progress</c:v>
                </c:pt>
                <c:pt idx="2">
                  <c:v>Awaiting Parts</c:v>
                </c:pt>
                <c:pt idx="3">
                  <c:v>Completed</c:v>
                </c:pt>
              </c:strCache>
            </c:strRef>
          </c:cat>
          <c:val>
            <c:numRef>
              <c:f>Dashboard!$C$11:$C$14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E-497C-BAD2-4B9D7903D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Tickets by Priority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Dashboard!$B$18:$B$21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Dashboard!$C$18:$C$21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2-446C-ADA1-7561C2E19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Priority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Tickets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8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65D"/>
  </sheetPr>
  <dimension ref="A1:J21"/>
  <sheetViews>
    <sheetView workbookViewId="0">
      <pane ySplit="4" topLeftCell="A5" activePane="bottomLeft" state="frozen"/>
      <selection pane="bottomLeft" activeCell="C29" sqref="C29"/>
    </sheetView>
  </sheetViews>
  <sheetFormatPr defaultRowHeight="14.5" x14ac:dyDescent="0.35"/>
  <cols>
    <col min="1" max="1" width="3" customWidth="1"/>
    <col min="2" max="2" width="24" customWidth="1"/>
    <col min="3" max="3" width="14" customWidth="1"/>
    <col min="4" max="4" width="18" customWidth="1"/>
    <col min="5" max="5" width="22" customWidth="1"/>
    <col min="6" max="6" width="53" customWidth="1"/>
    <col min="7" max="7" width="14" customWidth="1"/>
    <col min="8" max="8" width="51" customWidth="1"/>
    <col min="9" max="10" width="14" customWidth="1"/>
  </cols>
  <sheetData>
    <row r="1" spans="1:10" x14ac:dyDescent="0.35">
      <c r="A1" t="s">
        <v>133</v>
      </c>
    </row>
    <row r="2" spans="1:10" x14ac:dyDescent="0.35">
      <c r="B2" s="24" t="s">
        <v>0</v>
      </c>
      <c r="C2" s="25"/>
      <c r="D2" s="25"/>
      <c r="E2" s="25"/>
      <c r="F2" s="25"/>
      <c r="G2" s="25"/>
      <c r="H2" s="25"/>
      <c r="I2" s="25"/>
      <c r="J2" s="25"/>
    </row>
    <row r="3" spans="1:10" x14ac:dyDescent="0.35">
      <c r="B3" s="25"/>
      <c r="C3" s="25"/>
      <c r="D3" s="25"/>
      <c r="E3" s="25"/>
      <c r="F3" s="25"/>
      <c r="G3" s="25"/>
      <c r="H3" s="25"/>
      <c r="I3" s="25"/>
      <c r="J3" s="25"/>
    </row>
    <row r="5" spans="1:10" x14ac:dyDescent="0.35">
      <c r="B5" s="28" t="s">
        <v>1</v>
      </c>
      <c r="C5" s="27"/>
      <c r="D5" s="28" t="s">
        <v>2</v>
      </c>
      <c r="E5" s="27"/>
      <c r="F5" s="28" t="s">
        <v>3</v>
      </c>
      <c r="G5" s="27"/>
      <c r="H5" s="28" t="s">
        <v>4</v>
      </c>
      <c r="I5" s="27"/>
    </row>
    <row r="6" spans="1:10" x14ac:dyDescent="0.35">
      <c r="B6" s="26">
        <f>COUNTA('Maintenance Log'!B6:B32)</f>
        <v>8</v>
      </c>
      <c r="C6" s="27"/>
      <c r="D6" s="26">
        <f>COUNTIF('Maintenance Log'!I6:I32, "New")</f>
        <v>3</v>
      </c>
      <c r="E6" s="27"/>
      <c r="F6" s="26">
        <f>COUNTIF('Maintenance Log'!I6:I32, "In Progress")</f>
        <v>2</v>
      </c>
      <c r="G6" s="27"/>
      <c r="H6" s="26">
        <f>COUNTIF('Maintenance Log'!I6:I32, "Completed")</f>
        <v>2</v>
      </c>
      <c r="I6" s="27"/>
    </row>
    <row r="9" spans="1:10" ht="18.5" x14ac:dyDescent="0.45">
      <c r="B9" s="1" t="s">
        <v>5</v>
      </c>
    </row>
    <row r="10" spans="1:10" x14ac:dyDescent="0.35">
      <c r="B10" s="2" t="s">
        <v>6</v>
      </c>
      <c r="C10" s="2" t="s">
        <v>7</v>
      </c>
    </row>
    <row r="11" spans="1:10" x14ac:dyDescent="0.35">
      <c r="B11" s="3" t="s">
        <v>8</v>
      </c>
      <c r="C11" s="4">
        <f>COUNTIF('Maintenance Log'!I6:I107, "New")</f>
        <v>3</v>
      </c>
    </row>
    <row r="12" spans="1:10" x14ac:dyDescent="0.35">
      <c r="B12" s="3" t="s">
        <v>3</v>
      </c>
      <c r="C12" s="4">
        <f>COUNTIF('Maintenance Log'!I6:I107, "In Progress")</f>
        <v>2</v>
      </c>
    </row>
    <row r="13" spans="1:10" x14ac:dyDescent="0.35">
      <c r="B13" s="3" t="s">
        <v>9</v>
      </c>
      <c r="C13" s="4">
        <f>COUNTIF('Maintenance Log'!I6:I107, "Awaiting Parts")</f>
        <v>1</v>
      </c>
    </row>
    <row r="14" spans="1:10" x14ac:dyDescent="0.35">
      <c r="B14" s="3" t="s">
        <v>4</v>
      </c>
      <c r="C14" s="4">
        <f>COUNTIF('Maintenance Log'!I6:I107, "Completed")</f>
        <v>2</v>
      </c>
    </row>
    <row r="16" spans="1:10" ht="18.5" x14ac:dyDescent="0.45">
      <c r="B16" s="1" t="s">
        <v>10</v>
      </c>
    </row>
    <row r="17" spans="2:3" x14ac:dyDescent="0.35">
      <c r="B17" s="5" t="s">
        <v>11</v>
      </c>
      <c r="C17" s="5" t="s">
        <v>7</v>
      </c>
    </row>
    <row r="18" spans="2:3" x14ac:dyDescent="0.35">
      <c r="B18" s="3" t="s">
        <v>12</v>
      </c>
      <c r="C18" s="4">
        <f>COUNTIF('Maintenance Log'!H6:H107, "Critical")</f>
        <v>2</v>
      </c>
    </row>
    <row r="19" spans="2:3" x14ac:dyDescent="0.35">
      <c r="B19" s="3" t="s">
        <v>13</v>
      </c>
      <c r="C19" s="4">
        <f>COUNTIF('Maintenance Log'!H6:H107, "High")</f>
        <v>3</v>
      </c>
    </row>
    <row r="20" spans="2:3" x14ac:dyDescent="0.35">
      <c r="B20" s="3" t="s">
        <v>14</v>
      </c>
      <c r="C20" s="4">
        <f>COUNTIF('Maintenance Log'!H6:H107, "Medium")</f>
        <v>2</v>
      </c>
    </row>
    <row r="21" spans="2:3" x14ac:dyDescent="0.35">
      <c r="B21" s="3" t="s">
        <v>15</v>
      </c>
      <c r="C21" s="4">
        <f>COUNTIF('Maintenance Log'!H6:H107, "Low")</f>
        <v>1</v>
      </c>
    </row>
  </sheetData>
  <mergeCells count="9">
    <mergeCell ref="B2:J3"/>
    <mergeCell ref="B6:C6"/>
    <mergeCell ref="D6:E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80"/>
  </sheetPr>
  <dimension ref="A1:M35"/>
  <sheetViews>
    <sheetView zoomScale="70" zoomScaleNormal="70" workbookViewId="0">
      <pane ySplit="4" topLeftCell="A26" activePane="bottomLeft" state="frozen"/>
      <selection pane="bottomLeft" activeCell="K35" sqref="K35"/>
    </sheetView>
  </sheetViews>
  <sheetFormatPr defaultRowHeight="14.5" x14ac:dyDescent="0.35"/>
  <cols>
    <col min="1" max="2" width="16" customWidth="1"/>
    <col min="3" max="3" width="24" customWidth="1"/>
    <col min="4" max="4" width="22" customWidth="1"/>
    <col min="5" max="5" width="21" customWidth="1"/>
    <col min="6" max="6" width="36" customWidth="1"/>
    <col min="7" max="7" width="25" customWidth="1"/>
    <col min="8" max="8" width="14" customWidth="1"/>
    <col min="9" max="9" width="18" customWidth="1"/>
    <col min="10" max="10" width="25" customWidth="1"/>
    <col min="11" max="11" width="19" customWidth="1"/>
    <col min="12" max="12" width="16" customWidth="1"/>
    <col min="13" max="13" width="48" customWidth="1"/>
  </cols>
  <sheetData>
    <row r="1" spans="1:13" x14ac:dyDescent="0.35">
      <c r="A1" s="24" t="s">
        <v>16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x14ac:dyDescent="0.3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4" spans="1:13" ht="28" customHeight="1" x14ac:dyDescent="0.35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11</v>
      </c>
      <c r="I4" s="6" t="s">
        <v>6</v>
      </c>
      <c r="J4" s="6" t="s">
        <v>24</v>
      </c>
      <c r="K4" s="6" t="s">
        <v>25</v>
      </c>
      <c r="L4" s="6" t="s">
        <v>26</v>
      </c>
      <c r="M4" s="6" t="s">
        <v>27</v>
      </c>
    </row>
    <row r="5" spans="1:13" ht="22" customHeight="1" x14ac:dyDescent="0.35">
      <c r="A5" s="7" t="s">
        <v>28</v>
      </c>
      <c r="B5" s="7" t="s">
        <v>29</v>
      </c>
      <c r="C5" s="8" t="s">
        <v>30</v>
      </c>
      <c r="D5" s="7" t="s">
        <v>31</v>
      </c>
      <c r="E5" s="8" t="s">
        <v>32</v>
      </c>
      <c r="F5" s="8" t="s">
        <v>33</v>
      </c>
      <c r="G5" s="8" t="s">
        <v>34</v>
      </c>
      <c r="H5" s="7" t="s">
        <v>12</v>
      </c>
      <c r="I5" s="9" t="s">
        <v>4</v>
      </c>
      <c r="J5" s="8" t="s">
        <v>35</v>
      </c>
      <c r="K5" s="7" t="s">
        <v>36</v>
      </c>
      <c r="L5" s="10">
        <v>150</v>
      </c>
      <c r="M5" s="8" t="s">
        <v>37</v>
      </c>
    </row>
    <row r="6" spans="1:13" ht="22" customHeight="1" x14ac:dyDescent="0.35">
      <c r="A6" s="11" t="s">
        <v>38</v>
      </c>
      <c r="B6" s="11" t="s">
        <v>39</v>
      </c>
      <c r="C6" s="3" t="s">
        <v>40</v>
      </c>
      <c r="D6" s="11" t="s">
        <v>41</v>
      </c>
      <c r="E6" s="3" t="s">
        <v>42</v>
      </c>
      <c r="F6" s="3" t="s">
        <v>43</v>
      </c>
      <c r="G6" s="3" t="s">
        <v>44</v>
      </c>
      <c r="H6" s="11" t="s">
        <v>13</v>
      </c>
      <c r="I6" s="12" t="s">
        <v>3</v>
      </c>
      <c r="J6" s="3" t="s">
        <v>45</v>
      </c>
      <c r="K6" s="11"/>
      <c r="L6" s="13">
        <v>0</v>
      </c>
      <c r="M6" s="3" t="s">
        <v>46</v>
      </c>
    </row>
    <row r="7" spans="1:13" ht="22" customHeight="1" x14ac:dyDescent="0.35">
      <c r="A7" s="7" t="s">
        <v>47</v>
      </c>
      <c r="B7" s="7" t="s">
        <v>48</v>
      </c>
      <c r="C7" s="8" t="s">
        <v>49</v>
      </c>
      <c r="D7" s="7" t="s">
        <v>50</v>
      </c>
      <c r="E7" s="8" t="s">
        <v>51</v>
      </c>
      <c r="F7" s="8" t="s">
        <v>52</v>
      </c>
      <c r="G7" s="8" t="s">
        <v>53</v>
      </c>
      <c r="H7" s="7" t="s">
        <v>14</v>
      </c>
      <c r="I7" s="14" t="s">
        <v>9</v>
      </c>
      <c r="J7" s="8" t="s">
        <v>54</v>
      </c>
      <c r="K7" s="7"/>
      <c r="L7" s="10">
        <v>80</v>
      </c>
      <c r="M7" s="8" t="s">
        <v>55</v>
      </c>
    </row>
    <row r="8" spans="1:13" ht="22" customHeight="1" x14ac:dyDescent="0.35">
      <c r="A8" s="11" t="s">
        <v>56</v>
      </c>
      <c r="B8" s="11" t="s">
        <v>57</v>
      </c>
      <c r="C8" s="3" t="s">
        <v>58</v>
      </c>
      <c r="D8" s="11" t="s">
        <v>59</v>
      </c>
      <c r="E8" s="3" t="s">
        <v>60</v>
      </c>
      <c r="F8" s="3" t="s">
        <v>61</v>
      </c>
      <c r="G8" s="3" t="s">
        <v>62</v>
      </c>
      <c r="H8" s="11" t="s">
        <v>12</v>
      </c>
      <c r="I8" s="15" t="s">
        <v>8</v>
      </c>
      <c r="J8" s="3" t="s">
        <v>35</v>
      </c>
      <c r="K8" s="11"/>
      <c r="L8" s="13">
        <v>0</v>
      </c>
      <c r="M8" s="3" t="s">
        <v>63</v>
      </c>
    </row>
    <row r="9" spans="1:13" ht="22" customHeight="1" x14ac:dyDescent="0.35">
      <c r="A9" s="7" t="s">
        <v>64</v>
      </c>
      <c r="B9" s="7" t="s">
        <v>65</v>
      </c>
      <c r="C9" s="8" t="s">
        <v>66</v>
      </c>
      <c r="D9" s="7" t="s">
        <v>67</v>
      </c>
      <c r="E9" s="8" t="s">
        <v>68</v>
      </c>
      <c r="F9" s="8" t="s">
        <v>69</v>
      </c>
      <c r="G9" s="8" t="s">
        <v>70</v>
      </c>
      <c r="H9" s="7" t="s">
        <v>15</v>
      </c>
      <c r="I9" s="9" t="s">
        <v>4</v>
      </c>
      <c r="J9" s="8" t="s">
        <v>71</v>
      </c>
      <c r="K9" s="7" t="s">
        <v>72</v>
      </c>
      <c r="L9" s="10">
        <v>45</v>
      </c>
      <c r="M9" s="8" t="s">
        <v>73</v>
      </c>
    </row>
    <row r="10" spans="1:13" ht="22" customHeight="1" x14ac:dyDescent="0.35">
      <c r="A10" s="11" t="s">
        <v>74</v>
      </c>
      <c r="B10" s="11" t="s">
        <v>75</v>
      </c>
      <c r="C10" s="3" t="s">
        <v>76</v>
      </c>
      <c r="D10" s="11" t="s">
        <v>77</v>
      </c>
      <c r="E10" s="3" t="s">
        <v>78</v>
      </c>
      <c r="F10" s="3" t="s">
        <v>79</v>
      </c>
      <c r="G10" s="3" t="s">
        <v>80</v>
      </c>
      <c r="H10" s="11" t="s">
        <v>12</v>
      </c>
      <c r="I10" s="12" t="s">
        <v>3</v>
      </c>
      <c r="J10" s="3" t="s">
        <v>81</v>
      </c>
      <c r="K10" s="11"/>
      <c r="L10" s="13">
        <v>1200</v>
      </c>
      <c r="M10" s="3" t="s">
        <v>82</v>
      </c>
    </row>
    <row r="11" spans="1:13" ht="22" customHeight="1" x14ac:dyDescent="0.35">
      <c r="A11" s="7" t="s">
        <v>83</v>
      </c>
      <c r="B11" s="7" t="s">
        <v>84</v>
      </c>
      <c r="C11" s="8" t="s">
        <v>85</v>
      </c>
      <c r="D11" s="7" t="s">
        <v>86</v>
      </c>
      <c r="E11" s="8" t="s">
        <v>87</v>
      </c>
      <c r="F11" s="8" t="s">
        <v>88</v>
      </c>
      <c r="G11" s="8" t="s">
        <v>89</v>
      </c>
      <c r="H11" s="7" t="s">
        <v>13</v>
      </c>
      <c r="I11" s="9" t="s">
        <v>4</v>
      </c>
      <c r="J11" s="8" t="s">
        <v>54</v>
      </c>
      <c r="K11" s="7" t="s">
        <v>84</v>
      </c>
      <c r="L11" s="10">
        <v>20</v>
      </c>
      <c r="M11" s="8" t="s">
        <v>90</v>
      </c>
    </row>
    <row r="12" spans="1:13" ht="22" customHeight="1" x14ac:dyDescent="0.35">
      <c r="A12" s="11" t="s">
        <v>91</v>
      </c>
      <c r="B12" s="11" t="s">
        <v>92</v>
      </c>
      <c r="C12" s="3" t="s">
        <v>93</v>
      </c>
      <c r="D12" s="11" t="s">
        <v>94</v>
      </c>
      <c r="E12" s="3" t="s">
        <v>95</v>
      </c>
      <c r="F12" s="3" t="s">
        <v>96</v>
      </c>
      <c r="G12" s="3" t="s">
        <v>97</v>
      </c>
      <c r="H12" s="11" t="s">
        <v>13</v>
      </c>
      <c r="I12" s="15" t="s">
        <v>8</v>
      </c>
      <c r="J12" s="3" t="s">
        <v>45</v>
      </c>
      <c r="K12" s="11"/>
      <c r="L12" s="13">
        <v>0</v>
      </c>
      <c r="M12" s="3" t="s">
        <v>98</v>
      </c>
    </row>
    <row r="13" spans="1:13" ht="22" customHeight="1" x14ac:dyDescent="0.35">
      <c r="A13" s="7" t="s">
        <v>141</v>
      </c>
      <c r="B13" s="7" t="s">
        <v>140</v>
      </c>
      <c r="C13" s="18" t="s">
        <v>137</v>
      </c>
      <c r="D13" s="20">
        <v>123456</v>
      </c>
      <c r="E13" s="18" t="s">
        <v>139</v>
      </c>
      <c r="F13" s="3" t="s">
        <v>142</v>
      </c>
      <c r="G13" s="3" t="s">
        <v>34</v>
      </c>
      <c r="H13" s="11" t="s">
        <v>14</v>
      </c>
      <c r="I13" s="11" t="s">
        <v>8</v>
      </c>
      <c r="J13" s="3" t="s">
        <v>143</v>
      </c>
      <c r="K13" s="23"/>
      <c r="L13" s="13">
        <v>0</v>
      </c>
      <c r="M13" s="3" t="s">
        <v>98</v>
      </c>
    </row>
    <row r="14" spans="1:13" ht="22" customHeight="1" x14ac:dyDescent="0.35">
      <c r="A14" s="11"/>
      <c r="B14" s="11"/>
      <c r="C14" s="3"/>
      <c r="D14" s="11"/>
      <c r="E14" s="3"/>
      <c r="F14" s="3"/>
      <c r="G14" s="3"/>
      <c r="H14" s="11"/>
      <c r="I14" s="11"/>
      <c r="J14" s="3"/>
      <c r="K14" s="11"/>
      <c r="L14" s="13"/>
      <c r="M14" s="3"/>
    </row>
    <row r="15" spans="1:13" ht="22" customHeight="1" x14ac:dyDescent="0.35">
      <c r="A15" s="11"/>
      <c r="B15" s="11"/>
      <c r="C15" s="3"/>
      <c r="D15" s="11"/>
      <c r="E15" s="3"/>
      <c r="F15" s="3"/>
      <c r="G15" s="3"/>
      <c r="H15" s="11"/>
      <c r="I15" s="11"/>
      <c r="J15" s="3"/>
      <c r="K15" s="11"/>
      <c r="L15" s="13"/>
      <c r="M15" s="3"/>
    </row>
    <row r="16" spans="1:13" ht="22" customHeight="1" x14ac:dyDescent="0.35">
      <c r="A16" s="11"/>
      <c r="B16" s="11"/>
      <c r="C16" s="3"/>
      <c r="D16" s="11"/>
      <c r="E16" s="3"/>
      <c r="F16" s="3"/>
      <c r="G16" s="3"/>
      <c r="H16" s="11"/>
      <c r="I16" s="11"/>
      <c r="J16" s="3"/>
      <c r="K16" s="11"/>
      <c r="L16" s="13"/>
      <c r="M16" s="3"/>
    </row>
    <row r="17" spans="1:13" ht="22" customHeight="1" x14ac:dyDescent="0.35">
      <c r="A17" s="11"/>
      <c r="B17" s="11"/>
      <c r="C17" s="3"/>
      <c r="D17" s="11"/>
      <c r="E17" s="3"/>
      <c r="F17" s="3"/>
      <c r="G17" s="3"/>
      <c r="H17" s="11"/>
      <c r="I17" s="11"/>
      <c r="J17" s="3"/>
      <c r="K17" s="11"/>
      <c r="L17" s="13"/>
      <c r="M17" s="3"/>
    </row>
    <row r="18" spans="1:13" ht="22" customHeight="1" x14ac:dyDescent="0.35">
      <c r="A18" s="11"/>
      <c r="B18" s="11"/>
      <c r="C18" s="3"/>
      <c r="D18" s="11"/>
      <c r="E18" s="3"/>
      <c r="F18" s="3"/>
      <c r="G18" s="3"/>
      <c r="H18" s="11"/>
      <c r="I18" s="11"/>
      <c r="J18" s="3"/>
      <c r="K18" s="11"/>
      <c r="L18" s="13"/>
      <c r="M18" s="3"/>
    </row>
    <row r="19" spans="1:13" ht="22" customHeight="1" x14ac:dyDescent="0.35">
      <c r="A19" s="11"/>
      <c r="B19" s="11"/>
      <c r="C19" s="3"/>
      <c r="D19" s="11"/>
      <c r="E19" s="3"/>
      <c r="F19" s="3"/>
      <c r="G19" s="3"/>
      <c r="H19" s="11"/>
      <c r="I19" s="11"/>
      <c r="J19" s="3"/>
      <c r="K19" s="11"/>
      <c r="L19" s="13"/>
      <c r="M19" s="3"/>
    </row>
    <row r="20" spans="1:13" ht="22" customHeight="1" x14ac:dyDescent="0.35">
      <c r="A20" s="11"/>
      <c r="B20" s="11"/>
      <c r="C20" s="3"/>
      <c r="D20" s="11"/>
      <c r="E20" s="3"/>
      <c r="F20" s="3"/>
      <c r="G20" s="3"/>
      <c r="H20" s="11"/>
      <c r="I20" s="11"/>
      <c r="J20" s="3"/>
      <c r="K20" s="11"/>
      <c r="L20" s="13"/>
      <c r="M20" s="3"/>
    </row>
    <row r="21" spans="1:13" ht="22" customHeight="1" x14ac:dyDescent="0.35">
      <c r="A21" s="11"/>
      <c r="B21" s="11"/>
      <c r="C21" s="3"/>
      <c r="D21" s="11"/>
      <c r="E21" s="3"/>
      <c r="F21" s="3"/>
      <c r="G21" s="3"/>
      <c r="H21" s="11"/>
      <c r="I21" s="11"/>
      <c r="J21" s="3"/>
      <c r="K21" s="11"/>
      <c r="L21" s="13"/>
      <c r="M21" s="3"/>
    </row>
    <row r="22" spans="1:13" ht="22" customHeight="1" x14ac:dyDescent="0.35">
      <c r="A22" s="11"/>
      <c r="B22" s="11"/>
      <c r="C22" s="3"/>
      <c r="D22" s="11"/>
      <c r="E22" s="3"/>
      <c r="F22" s="3"/>
      <c r="G22" s="3"/>
      <c r="H22" s="11"/>
      <c r="I22" s="11"/>
      <c r="J22" s="3"/>
      <c r="K22" s="11"/>
      <c r="L22" s="13"/>
      <c r="M22" s="3"/>
    </row>
    <row r="23" spans="1:13" ht="22" customHeight="1" x14ac:dyDescent="0.35">
      <c r="A23" s="11"/>
      <c r="B23" s="11"/>
      <c r="C23" s="3"/>
      <c r="D23" s="11"/>
      <c r="E23" s="3"/>
      <c r="F23" s="3"/>
      <c r="G23" s="3"/>
      <c r="H23" s="11"/>
      <c r="I23" s="11"/>
      <c r="J23" s="3"/>
      <c r="K23" s="11"/>
      <c r="L23" s="13"/>
      <c r="M23" s="3"/>
    </row>
    <row r="24" spans="1:13" ht="22" customHeight="1" x14ac:dyDescent="0.35">
      <c r="A24" s="11"/>
      <c r="B24" s="11"/>
      <c r="C24" s="3"/>
      <c r="D24" s="11"/>
      <c r="E24" s="3"/>
      <c r="F24" s="3"/>
      <c r="G24" s="3"/>
      <c r="H24" s="11"/>
      <c r="I24" s="11"/>
      <c r="J24" s="3"/>
      <c r="K24" s="11"/>
      <c r="L24" s="13"/>
      <c r="M24" s="3"/>
    </row>
    <row r="25" spans="1:13" ht="22" customHeight="1" x14ac:dyDescent="0.35">
      <c r="A25" s="11"/>
      <c r="B25" s="11"/>
      <c r="C25" s="3"/>
      <c r="D25" s="11"/>
      <c r="E25" s="3"/>
      <c r="F25" s="3"/>
      <c r="G25" s="3"/>
      <c r="H25" s="11"/>
      <c r="I25" s="11"/>
      <c r="J25" s="3"/>
      <c r="K25" s="11"/>
      <c r="L25" s="13"/>
      <c r="M25" s="3"/>
    </row>
    <row r="26" spans="1:13" ht="22" customHeight="1" x14ac:dyDescent="0.35">
      <c r="A26" s="11"/>
      <c r="B26" s="11"/>
      <c r="C26" s="3"/>
      <c r="D26" s="11"/>
      <c r="E26" s="3"/>
      <c r="F26" s="3"/>
      <c r="G26" s="3"/>
      <c r="H26" s="11"/>
      <c r="I26" s="11"/>
      <c r="J26" s="3"/>
      <c r="K26" s="11"/>
      <c r="L26" s="13"/>
      <c r="M26" s="3"/>
    </row>
    <row r="27" spans="1:13" ht="22" customHeight="1" x14ac:dyDescent="0.35">
      <c r="A27" s="11"/>
      <c r="B27" s="11"/>
      <c r="C27" s="3"/>
      <c r="D27" s="11"/>
      <c r="E27" s="3"/>
      <c r="F27" s="3"/>
      <c r="G27" s="3"/>
      <c r="H27" s="11"/>
      <c r="I27" s="11"/>
      <c r="J27" s="3"/>
      <c r="K27" s="11"/>
      <c r="L27" s="13"/>
      <c r="M27" s="3"/>
    </row>
    <row r="28" spans="1:13" ht="22" customHeight="1" x14ac:dyDescent="0.35">
      <c r="A28" s="11"/>
      <c r="B28" s="11"/>
      <c r="C28" s="3"/>
      <c r="D28" s="11"/>
      <c r="E28" s="3"/>
      <c r="F28" s="3"/>
      <c r="G28" s="3"/>
      <c r="H28" s="11"/>
      <c r="I28" s="11"/>
      <c r="J28" s="3"/>
      <c r="K28" s="11"/>
      <c r="L28" s="13"/>
      <c r="M28" s="3"/>
    </row>
    <row r="29" spans="1:13" ht="22" customHeight="1" x14ac:dyDescent="0.35">
      <c r="A29" s="11"/>
      <c r="B29" s="11"/>
      <c r="C29" s="3"/>
      <c r="D29" s="11"/>
      <c r="E29" s="3"/>
      <c r="F29" s="3"/>
      <c r="G29" s="3"/>
      <c r="H29" s="11"/>
      <c r="I29" s="11"/>
      <c r="J29" s="3"/>
      <c r="K29" s="11"/>
      <c r="L29" s="13"/>
      <c r="M29" s="3"/>
    </row>
    <row r="30" spans="1:13" ht="22" customHeight="1" x14ac:dyDescent="0.35">
      <c r="A30" s="11"/>
      <c r="B30" s="11"/>
      <c r="C30" s="3"/>
      <c r="D30" s="11"/>
      <c r="E30" s="3"/>
      <c r="F30" s="3"/>
      <c r="G30" s="3"/>
      <c r="H30" s="11"/>
      <c r="I30" s="11"/>
      <c r="J30" s="3"/>
      <c r="K30" s="11"/>
      <c r="L30" s="13"/>
      <c r="M30" s="3"/>
    </row>
    <row r="31" spans="1:13" ht="22" customHeight="1" x14ac:dyDescent="0.35">
      <c r="A31" s="11"/>
      <c r="B31" s="11"/>
      <c r="C31" s="3"/>
      <c r="D31" s="11"/>
      <c r="E31" s="3"/>
      <c r="F31" s="3"/>
      <c r="G31" s="3"/>
      <c r="H31" s="11"/>
      <c r="I31" s="11"/>
      <c r="J31" s="3"/>
      <c r="K31" s="11"/>
      <c r="L31" s="13"/>
      <c r="M31" s="3"/>
    </row>
    <row r="32" spans="1:13" ht="22" customHeight="1" x14ac:dyDescent="0.35">
      <c r="A32" s="11"/>
      <c r="B32" s="11"/>
      <c r="C32" s="3"/>
      <c r="D32" s="11"/>
      <c r="E32" s="3"/>
      <c r="F32" s="3"/>
      <c r="G32" s="3"/>
      <c r="H32" s="11"/>
      <c r="I32" s="11"/>
      <c r="J32" s="3"/>
      <c r="K32" s="11"/>
      <c r="L32" s="13"/>
      <c r="M32" s="3"/>
    </row>
    <row r="33" spans="1:13" ht="22" customHeight="1" x14ac:dyDescent="0.35">
      <c r="A33" s="11"/>
      <c r="B33" s="11"/>
      <c r="C33" s="3"/>
      <c r="D33" s="11"/>
      <c r="E33" s="3"/>
      <c r="F33" s="3"/>
      <c r="G33" s="3"/>
      <c r="H33" s="11"/>
      <c r="I33" s="11"/>
      <c r="J33" s="3"/>
      <c r="K33" s="11"/>
      <c r="L33" s="13"/>
      <c r="M33" s="3"/>
    </row>
    <row r="34" spans="1:13" ht="22" customHeight="1" x14ac:dyDescent="0.35">
      <c r="A34" s="11"/>
      <c r="B34" s="11"/>
      <c r="C34" s="3"/>
      <c r="D34" s="11"/>
      <c r="E34" s="3"/>
      <c r="F34" s="3"/>
      <c r="G34" s="3"/>
      <c r="H34" s="11"/>
      <c r="I34" s="11"/>
      <c r="J34" s="3"/>
      <c r="K34" s="11"/>
      <c r="L34" s="13"/>
      <c r="M34" s="3"/>
    </row>
    <row r="35" spans="1:13" x14ac:dyDescent="0.35">
      <c r="K35" s="16" t="s">
        <v>99</v>
      </c>
      <c r="L35" s="17">
        <f>SUM(L5:L34)</f>
        <v>1495</v>
      </c>
    </row>
  </sheetData>
  <mergeCells count="1">
    <mergeCell ref="A1:M2"/>
  </mergeCells>
  <phoneticPr fontId="12" type="noConversion"/>
  <dataValidations count="2">
    <dataValidation type="list" allowBlank="1" sqref="H5:H35" xr:uid="{00000000-0002-0000-0100-000000000000}">
      <formula1>"Critical,High,Medium,Low"</formula1>
    </dataValidation>
    <dataValidation type="list" allowBlank="1" sqref="I5:I35" xr:uid="{00000000-0002-0000-0100-000001000000}">
      <formula1>"New,In Progress,Awaiting Parts,Completed"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86581"/>
  </sheetPr>
  <dimension ref="A1:G15"/>
  <sheetViews>
    <sheetView tabSelected="1" workbookViewId="0">
      <pane ySplit="4" topLeftCell="A5" activePane="bottomLeft" state="frozen"/>
      <selection pane="bottomLeft" activeCell="E21" sqref="E21"/>
    </sheetView>
  </sheetViews>
  <sheetFormatPr defaultRowHeight="14.5" x14ac:dyDescent="0.35"/>
  <cols>
    <col min="1" max="1" width="18" customWidth="1"/>
    <col min="2" max="2" width="24" customWidth="1"/>
    <col min="3" max="3" width="22" customWidth="1"/>
    <col min="4" max="4" width="24" customWidth="1"/>
    <col min="5" max="5" width="25" customWidth="1"/>
    <col min="6" max="6" width="17" customWidth="1"/>
    <col min="7" max="7" width="19" customWidth="1"/>
  </cols>
  <sheetData>
    <row r="1" spans="1:7" x14ac:dyDescent="0.35">
      <c r="A1" s="24" t="s">
        <v>100</v>
      </c>
      <c r="B1" s="25"/>
      <c r="C1" s="25"/>
      <c r="D1" s="25"/>
      <c r="E1" s="25"/>
      <c r="F1" s="25"/>
      <c r="G1" s="25"/>
    </row>
    <row r="2" spans="1:7" x14ac:dyDescent="0.35">
      <c r="A2" s="25"/>
      <c r="B2" s="25"/>
      <c r="C2" s="25"/>
      <c r="D2" s="25"/>
      <c r="E2" s="25"/>
      <c r="F2" s="25"/>
      <c r="G2" s="25"/>
    </row>
    <row r="4" spans="1:7" ht="25" customHeight="1" x14ac:dyDescent="0.35">
      <c r="A4" s="6" t="s">
        <v>101</v>
      </c>
      <c r="B4" s="6" t="s">
        <v>19</v>
      </c>
      <c r="C4" s="6" t="s">
        <v>20</v>
      </c>
      <c r="D4" s="6" t="s">
        <v>102</v>
      </c>
      <c r="E4" s="6" t="s">
        <v>103</v>
      </c>
      <c r="F4" s="6" t="s">
        <v>104</v>
      </c>
      <c r="G4" s="6" t="s">
        <v>105</v>
      </c>
    </row>
    <row r="5" spans="1:7" ht="20" customHeight="1" x14ac:dyDescent="0.35">
      <c r="A5" s="7" t="s">
        <v>106</v>
      </c>
      <c r="B5" s="8" t="s">
        <v>30</v>
      </c>
      <c r="C5" s="7" t="s">
        <v>31</v>
      </c>
      <c r="D5" s="8" t="s">
        <v>107</v>
      </c>
      <c r="E5" s="8" t="s">
        <v>32</v>
      </c>
      <c r="F5" s="7" t="s">
        <v>108</v>
      </c>
      <c r="G5" s="7" t="s">
        <v>109</v>
      </c>
    </row>
    <row r="6" spans="1:7" ht="20" customHeight="1" x14ac:dyDescent="0.35">
      <c r="A6" s="11" t="s">
        <v>110</v>
      </c>
      <c r="B6" s="3" t="s">
        <v>40</v>
      </c>
      <c r="C6" s="11" t="s">
        <v>41</v>
      </c>
      <c r="D6" s="3" t="s">
        <v>111</v>
      </c>
      <c r="E6" s="3" t="s">
        <v>42</v>
      </c>
      <c r="F6" s="11" t="s">
        <v>112</v>
      </c>
      <c r="G6" s="11" t="s">
        <v>113</v>
      </c>
    </row>
    <row r="7" spans="1:7" ht="20" customHeight="1" x14ac:dyDescent="0.35">
      <c r="A7" s="7" t="s">
        <v>114</v>
      </c>
      <c r="B7" s="8" t="s">
        <v>49</v>
      </c>
      <c r="C7" s="7" t="s">
        <v>50</v>
      </c>
      <c r="D7" s="8" t="s">
        <v>115</v>
      </c>
      <c r="E7" s="8" t="s">
        <v>51</v>
      </c>
      <c r="F7" s="7" t="s">
        <v>116</v>
      </c>
      <c r="G7" s="7" t="s">
        <v>109</v>
      </c>
    </row>
    <row r="8" spans="1:7" ht="20" customHeight="1" x14ac:dyDescent="0.35">
      <c r="A8" s="11" t="s">
        <v>117</v>
      </c>
      <c r="B8" s="3" t="s">
        <v>58</v>
      </c>
      <c r="C8" s="11" t="s">
        <v>59</v>
      </c>
      <c r="D8" s="3" t="s">
        <v>118</v>
      </c>
      <c r="E8" s="3" t="s">
        <v>60</v>
      </c>
      <c r="F8" s="11" t="s">
        <v>119</v>
      </c>
      <c r="G8" s="11" t="s">
        <v>109</v>
      </c>
    </row>
    <row r="9" spans="1:7" ht="20" customHeight="1" x14ac:dyDescent="0.35">
      <c r="A9" s="7" t="s">
        <v>120</v>
      </c>
      <c r="B9" s="8" t="s">
        <v>66</v>
      </c>
      <c r="C9" s="7" t="s">
        <v>67</v>
      </c>
      <c r="D9" s="8" t="s">
        <v>121</v>
      </c>
      <c r="E9" s="8" t="s">
        <v>68</v>
      </c>
      <c r="F9" s="7" t="s">
        <v>122</v>
      </c>
      <c r="G9" s="7" t="s">
        <v>109</v>
      </c>
    </row>
    <row r="10" spans="1:7" ht="20" customHeight="1" x14ac:dyDescent="0.35">
      <c r="A10" s="11" t="s">
        <v>123</v>
      </c>
      <c r="B10" s="3" t="s">
        <v>76</v>
      </c>
      <c r="C10" s="11" t="s">
        <v>77</v>
      </c>
      <c r="D10" s="3" t="s">
        <v>124</v>
      </c>
      <c r="E10" s="3" t="s">
        <v>78</v>
      </c>
      <c r="F10" s="11" t="s">
        <v>125</v>
      </c>
      <c r="G10" s="11" t="s">
        <v>126</v>
      </c>
    </row>
    <row r="11" spans="1:7" ht="20" customHeight="1" x14ac:dyDescent="0.35">
      <c r="A11" s="7" t="s">
        <v>127</v>
      </c>
      <c r="B11" s="8" t="s">
        <v>85</v>
      </c>
      <c r="C11" s="7" t="s">
        <v>86</v>
      </c>
      <c r="D11" s="8" t="s">
        <v>128</v>
      </c>
      <c r="E11" s="8" t="s">
        <v>87</v>
      </c>
      <c r="F11" s="7" t="s">
        <v>129</v>
      </c>
      <c r="G11" s="7" t="s">
        <v>109</v>
      </c>
    </row>
    <row r="12" spans="1:7" ht="20" customHeight="1" x14ac:dyDescent="0.35">
      <c r="A12" s="11" t="s">
        <v>130</v>
      </c>
      <c r="B12" s="3" t="s">
        <v>93</v>
      </c>
      <c r="C12" s="11" t="s">
        <v>94</v>
      </c>
      <c r="D12" s="3" t="s">
        <v>131</v>
      </c>
      <c r="E12" s="3" t="s">
        <v>95</v>
      </c>
      <c r="F12" s="11" t="s">
        <v>132</v>
      </c>
      <c r="G12" s="11" t="s">
        <v>113</v>
      </c>
    </row>
    <row r="13" spans="1:7" x14ac:dyDescent="0.35">
      <c r="A13" s="11" t="s">
        <v>134</v>
      </c>
      <c r="B13" s="3" t="s">
        <v>93</v>
      </c>
      <c r="C13" s="11" t="s">
        <v>135</v>
      </c>
      <c r="D13" s="3" t="s">
        <v>131</v>
      </c>
      <c r="E13" s="3" t="s">
        <v>95</v>
      </c>
      <c r="F13" s="11" t="s">
        <v>136</v>
      </c>
      <c r="G13" s="11" t="s">
        <v>113</v>
      </c>
    </row>
    <row r="14" spans="1:7" x14ac:dyDescent="0.35">
      <c r="A14" s="7" t="s">
        <v>138</v>
      </c>
      <c r="B14" s="18" t="s">
        <v>137</v>
      </c>
      <c r="C14" s="20">
        <v>123456</v>
      </c>
      <c r="D14" s="18" t="s">
        <v>118</v>
      </c>
      <c r="E14" s="18" t="s">
        <v>139</v>
      </c>
      <c r="F14" s="21">
        <v>45915</v>
      </c>
      <c r="G14" s="22" t="s">
        <v>109</v>
      </c>
    </row>
    <row r="15" spans="1:7" x14ac:dyDescent="0.35">
      <c r="C15" s="19"/>
    </row>
  </sheetData>
  <mergeCells count="1">
    <mergeCell ref="A1:G2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Maintenance Log</vt:lpstr>
      <vt:lpstr>Equipment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zaid alhaddad</cp:lastModifiedBy>
  <dcterms:created xsi:type="dcterms:W3CDTF">2026-09-14T07:27:53Z</dcterms:created>
  <dcterms:modified xsi:type="dcterms:W3CDTF">2026-09-19T05:07:16Z</dcterms:modified>
</cp:coreProperties>
</file>